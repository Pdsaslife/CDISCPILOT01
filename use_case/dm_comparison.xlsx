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ariables" sheetId="2" state="visible" r:id="rId4"/>
    <sheet name="Content" sheetId="3" state="visible" r:id="rId5"/>
    <sheet name="Next steps" sheetId="4" state="visible" r:id="rId6"/>
  </sheets>
  <definedNames>
    <definedName function="false" hidden="true" localSheetId="1" name="_xlnm._FilterDatabase" vbProcedure="false">Variables!$A$1:$G$27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<sst xmlns="http://schemas.openxmlformats.org/spreadsheetml/2006/main" count="191" uniqueCount="113">
  <si>
    <t xml:space="preserve">DM dataset comparison: reference vs newly created</t>
  </si>
  <si>
    <t xml:space="preserve">Reference = tabulations/sdtm_datasets/dm   |   New = use_case/sdtm_out/dm (from raw_to_sdtm_dm_fixed.sas)</t>
  </si>
  <si>
    <t xml:space="preserve">Measure</t>
  </si>
  <si>
    <t xml:space="preserve">Reference</t>
  </si>
  <si>
    <t xml:space="preserve">New</t>
  </si>
  <si>
    <t xml:space="preserve">Comment</t>
  </si>
  <si>
    <t xml:space="preserve">Observations</t>
  </si>
  <si>
    <t xml:space="preserve">Variables</t>
  </si>
  <si>
    <t xml:space="preserve">Counted from the Variables sheet</t>
  </si>
  <si>
    <t xml:space="preserve">Subjects in common (by USUBJID)</t>
  </si>
  <si>
    <t xml:space="preserve">PROC COMPARE matched no observations; value comparison not performed</t>
  </si>
  <si>
    <t xml:space="preserve">Subjects in common (by numeric SUBJID)</t>
  </si>
  <si>
    <t xml:space="preserve">No overlap on SUBJID either</t>
  </si>
  <si>
    <t xml:space="preserve">Variables: exact match</t>
  </si>
  <si>
    <t xml:space="preserve">AGE, COUNTRY, DOMAIN, DTHFL</t>
  </si>
  <si>
    <t xml:space="preserve">Variables: length differs</t>
  </si>
  <si>
    <t xml:space="preserve">Same type, different length</t>
  </si>
  <si>
    <t xml:space="preserve">Variables: only in reference</t>
  </si>
  <si>
    <t xml:space="preserve">RFXSTDTC, RFXENDTC, RFPENDTC, ACTARMCD, ACTARM, DMDTC, DMDY</t>
  </si>
  <si>
    <t xml:space="preserve">Variables: only in new</t>
  </si>
  <si>
    <t xml:space="preserve">BRTHDTC</t>
  </si>
  <si>
    <t xml:space="preserve">Variables: type differs</t>
  </si>
  <si>
    <t xml:space="preserve">Conclusion</t>
  </si>
  <si>
    <t xml:space="preserve">The datasets contain different subjects, so values could not be compared. USUBJID and SUBJID formats differ, and the new dataset is missing 7 reference variables and has 5 of 15 RACE values and all of ETHNIC, ARMCD, ARM and COUNTRY blank.</t>
  </si>
  <si>
    <t xml:space="preserve">Variable</t>
  </si>
  <si>
    <t xml:space="preserve">Ref type</t>
  </si>
  <si>
    <t xml:space="preserve">Ref length</t>
  </si>
  <si>
    <t xml:space="preserve">New type</t>
  </si>
  <si>
    <t xml:space="preserve">New length</t>
  </si>
  <si>
    <t xml:space="preserve">Status</t>
  </si>
  <si>
    <t xml:space="preserve">STUDYID</t>
  </si>
  <si>
    <t xml:space="preserve">char</t>
  </si>
  <si>
    <t xml:space="preserve">DOMAIN</t>
  </si>
  <si>
    <t xml:space="preserve">USUBJID</t>
  </si>
  <si>
    <t xml:space="preserve">Different format: ref 01-701-1015 vs new CDISCPILOT01-701-001</t>
  </si>
  <si>
    <t xml:space="preserve">SUBJID</t>
  </si>
  <si>
    <t xml:space="preserve">Ref is 4 digits; new is 3 digits (zero-padded)</t>
  </si>
  <si>
    <t xml:space="preserve">RFSTDTC</t>
  </si>
  <si>
    <t xml:space="preserve">New is blank: no source in raw_dm.csv</t>
  </si>
  <si>
    <t xml:space="preserve">RFENDTC</t>
  </si>
  <si>
    <t xml:space="preserve">RFXSTDTC</t>
  </si>
  <si>
    <t xml:space="preserve">Add if required; derive from EX</t>
  </si>
  <si>
    <t xml:space="preserve">RFXENDTC</t>
  </si>
  <si>
    <t xml:space="preserve">RFICDTC</t>
  </si>
  <si>
    <t xml:space="preserve">RFPENDTC</t>
  </si>
  <si>
    <t xml:space="preserve">Add if required; derive from DS</t>
  </si>
  <si>
    <t xml:space="preserve">DTHDTC</t>
  </si>
  <si>
    <t xml:space="preserve">New is blank: no death data in raw_dm.csv</t>
  </si>
  <si>
    <t xml:space="preserve">DTHFL</t>
  </si>
  <si>
    <t xml:space="preserve">SITEID</t>
  </si>
  <si>
    <t xml:space="preserve">Not in reference (likely removed for de-identification); consider dropping</t>
  </si>
  <si>
    <t xml:space="preserve">AGE</t>
  </si>
  <si>
    <t xml:space="preserve">num</t>
  </si>
  <si>
    <t xml:space="preserve">New derived at consent date; ref age range 50-89</t>
  </si>
  <si>
    <t xml:space="preserve">AGEU</t>
  </si>
  <si>
    <t xml:space="preserve">SEX</t>
  </si>
  <si>
    <t xml:space="preserve">Spec says Char 1</t>
  </si>
  <si>
    <t xml:space="preserve">RACE</t>
  </si>
  <si>
    <t xml:space="preserve">New has 5 of 15 blank (codes EA, HP, O unmapped)</t>
  </si>
  <si>
    <t xml:space="preserve">ETHNIC</t>
  </si>
  <si>
    <t xml:space="preserve">ARMCD</t>
  </si>
  <si>
    <t xml:space="preserve">ARM</t>
  </si>
  <si>
    <t xml:space="preserve">ACTARMCD</t>
  </si>
  <si>
    <t xml:space="preserve">Add if required; from treatment data</t>
  </si>
  <si>
    <t xml:space="preserve">ACTARM</t>
  </si>
  <si>
    <t xml:space="preserve">COUNTRY</t>
  </si>
  <si>
    <t xml:space="preserve">DMDTC</t>
  </si>
  <si>
    <t xml:space="preserve">Add if required</t>
  </si>
  <si>
    <t xml:space="preserve">DMDY</t>
  </si>
  <si>
    <t xml:space="preserve">Add if required; derive from DMDTC and RFSTDTC</t>
  </si>
  <si>
    <t xml:space="preserve">Source: PROC CONTENTS / dictionary.columns on reference DM (tabulations/sdtm_datasets) and new DM (use_case/sdtm_out), run 28Oct2026. Status is a formula.</t>
  </si>
  <si>
    <t xml:space="preserve">Value distributions</t>
  </si>
  <si>
    <t xml:space="preserve">Reference n</t>
  </si>
  <si>
    <t xml:space="preserve">Reference %</t>
  </si>
  <si>
    <t xml:space="preserve">New n</t>
  </si>
  <si>
    <t xml:space="preserve">New %</t>
  </si>
  <si>
    <t xml:space="preserve">Age</t>
  </si>
  <si>
    <t xml:space="preserve">Minimum</t>
  </si>
  <si>
    <t xml:space="preserve">Maximum</t>
  </si>
  <si>
    <t xml:space="preserve">Mean</t>
  </si>
  <si>
    <t xml:space="preserve">Sex</t>
  </si>
  <si>
    <t xml:space="preserve">F</t>
  </si>
  <si>
    <t xml:space="preserve">M</t>
  </si>
  <si>
    <t xml:space="preserve">Total</t>
  </si>
  <si>
    <t xml:space="preserve">Race</t>
  </si>
  <si>
    <t xml:space="preserve">WHITE</t>
  </si>
  <si>
    <t xml:space="preserve">BLACK OR AFRICAN AMERICAN</t>
  </si>
  <si>
    <t xml:space="preserve">ASIAN</t>
  </si>
  <si>
    <t xml:space="preserve">AMERICAN INDIAN OR ALASKA NATIVE</t>
  </si>
  <si>
    <t xml:space="preserve">(blank)</t>
  </si>
  <si>
    <t xml:space="preserve">Population status of selected variables</t>
  </si>
  <si>
    <t xml:space="preserve">Populated</t>
  </si>
  <si>
    <t xml:space="preserve">Blank</t>
  </si>
  <si>
    <t xml:space="preserve">Populated where applicable</t>
  </si>
  <si>
    <t xml:space="preserve">Reference sex, race and age from REF.DM (306 subjects); new values from SDTM.DM (15 subjects). Totals and percentages are formulas.</t>
  </si>
  <si>
    <t xml:space="preserve">#</t>
  </si>
  <si>
    <t xml:space="preserve">Action</t>
  </si>
  <si>
    <t xml:space="preserve">Why</t>
  </si>
  <si>
    <t xml:space="preserve">Owner</t>
  </si>
  <si>
    <t xml:space="preserve">Decide the USUBJID convention (01-&lt;site&gt;-&lt;subjid&gt; vs CDISCPILOT01-&lt;site&gt;-&lt;subjid&gt;)</t>
  </si>
  <si>
    <t xml:space="preserve">Reference uses 01-701-1015 style; also matches the 01-INV-CTPATNO hint in the use-case notes</t>
  </si>
  <si>
    <t xml:space="preserve">Open</t>
  </si>
  <si>
    <t xml:space="preserve">Align variable lengths and add the missing permissible variables</t>
  </si>
  <si>
    <t xml:space="preserve">14 shared variables differ in length; 7 reference variables are absent</t>
  </si>
  <si>
    <t xml:space="preserve">Decide whether to keep BRTHDTC</t>
  </si>
  <si>
    <t xml:space="preserve">Not in the reference dataset; possible de-identification requirement</t>
  </si>
  <si>
    <t xml:space="preserve">Find sources for ETHNIC, ARMCD/ARM and COUNTRY</t>
  </si>
  <si>
    <t xml:space="preserve">No columns for these in raw_dm.csv</t>
  </si>
  <si>
    <t xml:space="preserve">Confirm race codes EA, HP and O</t>
  </si>
  <si>
    <t xml:space="preserve">5 of 15 subjects currently have blank RACE</t>
  </si>
  <si>
    <t xml:space="preserve">Rerun comparison on matching subjects</t>
  </si>
  <si>
    <t xml:space="preserve">Needs the raw data for the reference subjects to enable a value-level PROC COMPARE</t>
  </si>
  <si>
    <t xml:space="preserve">Owner and Status columns are for you to fill 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</si>
</sst>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306</v>
      </c>
      <c r="C5" s="5" t="n">
        <v>15</v>
      </c>
      <c r="D5" s="4"/>
    </row>
    <row r="6" customFormat="false" ht="15" hidden="false" customHeight="false" outlineLevel="0" collapsed="false">
      <c r="A6" s="4" t="s">
        <v>7</v>
      </c>
      <c r="B6" s="5" t="n">
        <f aca="false">COUNTA(Variables!B2:B27)</f>
        <v>25</v>
      </c>
      <c r="C6" s="5" t="n">
        <f aca="false">COUNTA(Variables!D2:D27)</f>
        <v>19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v>0</v>
      </c>
      <c r="C7" s="5" t="n">
        <v>0</v>
      </c>
      <c r="D7" s="4" t="s">
        <v>10</v>
      </c>
    </row>
    <row r="8" customFormat="false" ht="15" hidden="false" customHeight="false" outlineLevel="0" collapsed="false">
      <c r="A8" s="4" t="s">
        <v>11</v>
      </c>
      <c r="B8" s="5" t="n">
        <v>0</v>
      </c>
      <c r="C8" s="5" t="n">
        <v>0</v>
      </c>
      <c r="D8" s="4" t="s">
        <v>12</v>
      </c>
    </row>
    <row r="9" customFormat="false" ht="15" hidden="false" customHeight="false" outlineLevel="0" collapsed="false">
      <c r="A9" s="4" t="s">
        <v>13</v>
      </c>
      <c r="B9" s="5" t="n">
        <f aca="false">COUNTIF(Variables!F2:F27,"Match")</f>
        <v>4</v>
      </c>
      <c r="C9" s="5"/>
      <c r="D9" s="4" t="s">
        <v>14</v>
      </c>
    </row>
    <row r="10" customFormat="false" ht="15" hidden="false" customHeight="false" outlineLevel="0" collapsed="false">
      <c r="A10" s="4" t="s">
        <v>15</v>
      </c>
      <c r="B10" s="5" t="n">
        <f aca="false">COUNTIF(Variables!F2:F27,"Length differs")</f>
        <v>14</v>
      </c>
      <c r="C10" s="5"/>
      <c r="D10" s="4" t="s">
        <v>16</v>
      </c>
    </row>
    <row r="11" customFormat="false" ht="15" hidden="false" customHeight="false" outlineLevel="0" collapsed="false">
      <c r="A11" s="4" t="s">
        <v>17</v>
      </c>
      <c r="B11" s="5" t="n">
        <f aca="false">COUNTIF(Variables!F2:F27,"Only in reference")</f>
        <v>7</v>
      </c>
      <c r="C11" s="5"/>
      <c r="D11" s="4" t="s">
        <v>18</v>
      </c>
    </row>
    <row r="12" customFormat="false" ht="15" hidden="false" customHeight="false" outlineLevel="0" collapsed="false">
      <c r="A12" s="4" t="s">
        <v>19</v>
      </c>
      <c r="B12" s="5" t="n">
        <f aca="false">COUNTIF(Variables!F2:F27,"Only in new")</f>
        <v>1</v>
      </c>
      <c r="C12" s="5"/>
      <c r="D12" s="4" t="s">
        <v>20</v>
      </c>
    </row>
    <row r="13" customFormat="false" ht="15" hidden="false" customHeight="false" outlineLevel="0" collapsed="false">
      <c r="A13" s="4" t="s">
        <v>21</v>
      </c>
      <c r="B13" s="5" t="n">
        <f aca="false">COUNTIF(Variables!F2:F27,"Type differs")</f>
        <v>0</v>
      </c>
      <c r="C13" s="5"/>
      <c r="D13" s="4"/>
    </row>
    <row r="15" customFormat="false" ht="15" hidden="false" customHeight="false" outlineLevel="0" collapsed="false">
      <c r="A15" s="6" t="s">
        <v>22</v>
      </c>
    </row>
    <row r="16" customFormat="false" ht="48" hidden="false" customHeight="true" outlineLevel="0" collapsed="false">
      <c r="A16" s="7" t="s">
        <v>23</v>
      </c>
      <c r="B16" s="7"/>
      <c r="C16" s="7"/>
      <c r="D16" s="7"/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62"/>
  </cols>
  <sheetData>
    <row r="1" customFormat="false" ht="23.85" hidden="false" customHeight="fals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5</v>
      </c>
    </row>
    <row r="2" customFormat="false" ht="15" hidden="false" customHeight="false" outlineLevel="0" collapsed="false">
      <c r="A2" s="4" t="s">
        <v>30</v>
      </c>
      <c r="B2" s="5" t="s">
        <v>31</v>
      </c>
      <c r="C2" s="5" t="n">
        <v>12</v>
      </c>
      <c r="D2" s="5" t="s">
        <v>31</v>
      </c>
      <c r="E2" s="5" t="n">
        <v>20</v>
      </c>
      <c r="F2" s="5" t="str">
        <f aca="false">IF(B2="","Only in new",IF(D2="","Only in reference",IF(B2&lt;&gt;D2,"Type differs",IF(C2&lt;&gt;E2,"Length differs","Match"))))</f>
        <v>Length differs</v>
      </c>
      <c r="G2" s="4"/>
    </row>
    <row r="3" customFormat="false" ht="15" hidden="false" customHeight="false" outlineLevel="0" collapsed="false">
      <c r="A3" s="4" t="s">
        <v>32</v>
      </c>
      <c r="B3" s="5" t="s">
        <v>31</v>
      </c>
      <c r="C3" s="5" t="n">
        <v>2</v>
      </c>
      <c r="D3" s="5" t="s">
        <v>31</v>
      </c>
      <c r="E3" s="5" t="n">
        <v>2</v>
      </c>
      <c r="F3" s="5" t="str">
        <f aca="false">IF(B3="","Only in new",IF(D3="","Only in reference",IF(B3&lt;&gt;D3,"Type differs",IF(C3&lt;&gt;E3,"Length differs","Match"))))</f>
        <v>Match</v>
      </c>
      <c r="G3" s="4"/>
    </row>
    <row r="4" customFormat="false" ht="15" hidden="false" customHeight="false" outlineLevel="0" collapsed="false">
      <c r="A4" s="4" t="s">
        <v>33</v>
      </c>
      <c r="B4" s="5" t="s">
        <v>31</v>
      </c>
      <c r="C4" s="5" t="n">
        <v>11</v>
      </c>
      <c r="D4" s="5" t="s">
        <v>31</v>
      </c>
      <c r="E4" s="5" t="n">
        <v>40</v>
      </c>
      <c r="F4" s="5" t="str">
        <f aca="false">IF(B4="","Only in new",IF(D4="","Only in reference",IF(B4&lt;&gt;D4,"Type differs",IF(C4&lt;&gt;E4,"Length differs","Match"))))</f>
        <v>Length differs</v>
      </c>
      <c r="G4" s="4" t="s">
        <v>34</v>
      </c>
    </row>
    <row r="5" customFormat="false" ht="15" hidden="false" customHeight="false" outlineLevel="0" collapsed="false">
      <c r="A5" s="4" t="s">
        <v>35</v>
      </c>
      <c r="B5" s="5" t="s">
        <v>31</v>
      </c>
      <c r="C5" s="5" t="n">
        <v>4</v>
      </c>
      <c r="D5" s="5" t="s">
        <v>31</v>
      </c>
      <c r="E5" s="5" t="n">
        <v>20</v>
      </c>
      <c r="F5" s="5" t="str">
        <f aca="false">IF(B5="","Only in new",IF(D5="","Only in reference",IF(B5&lt;&gt;D5,"Type differs",IF(C5&lt;&gt;E5,"Length differs","Match"))))</f>
        <v>Length differs</v>
      </c>
      <c r="G5" s="4" t="s">
        <v>36</v>
      </c>
    </row>
    <row r="6" customFormat="false" ht="15" hidden="false" customHeight="false" outlineLevel="0" collapsed="false">
      <c r="A6" s="4" t="s">
        <v>37</v>
      </c>
      <c r="B6" s="5" t="s">
        <v>31</v>
      </c>
      <c r="C6" s="5" t="n">
        <v>10</v>
      </c>
      <c r="D6" s="5" t="s">
        <v>31</v>
      </c>
      <c r="E6" s="5" t="n">
        <v>19</v>
      </c>
      <c r="F6" s="5" t="str">
        <f aca="false">IF(B6="","Only in new",IF(D6="","Only in reference",IF(B6&lt;&gt;D6,"Type differs",IF(C6&lt;&gt;E6,"Length differs","Match"))))</f>
        <v>Length differs</v>
      </c>
      <c r="G6" s="4" t="s">
        <v>38</v>
      </c>
    </row>
    <row r="7" customFormat="false" ht="15" hidden="false" customHeight="false" outlineLevel="0" collapsed="false">
      <c r="A7" s="4" t="s">
        <v>39</v>
      </c>
      <c r="B7" s="5" t="s">
        <v>31</v>
      </c>
      <c r="C7" s="5" t="n">
        <v>10</v>
      </c>
      <c r="D7" s="5" t="s">
        <v>31</v>
      </c>
      <c r="E7" s="5" t="n">
        <v>19</v>
      </c>
      <c r="F7" s="5" t="str">
        <f aca="false">IF(B7="","Only in new",IF(D7="","Only in reference",IF(B7&lt;&gt;D7,"Type differs",IF(C7&lt;&gt;E7,"Length differs","Match"))))</f>
        <v>Length differs</v>
      </c>
      <c r="G7" s="4" t="s">
        <v>38</v>
      </c>
    </row>
    <row r="8" customFormat="false" ht="15" hidden="false" customHeight="false" outlineLevel="0" collapsed="false">
      <c r="A8" s="4" t="s">
        <v>40</v>
      </c>
      <c r="B8" s="5" t="s">
        <v>31</v>
      </c>
      <c r="C8" s="5" t="n">
        <v>20</v>
      </c>
      <c r="D8" s="5"/>
      <c r="E8" s="5"/>
      <c r="F8" s="5" t="str">
        <f aca="false">IF(B8="","Only in new",IF(D8="","Only in reference",IF(B8&lt;&gt;D8,"Type differs",IF(C8&lt;&gt;E8,"Length differs","Match"))))</f>
        <v>Only in reference</v>
      </c>
      <c r="G8" s="4" t="s">
        <v>41</v>
      </c>
    </row>
    <row r="9" customFormat="false" ht="15" hidden="false" customHeight="false" outlineLevel="0" collapsed="false">
      <c r="A9" s="4" t="s">
        <v>42</v>
      </c>
      <c r="B9" s="5" t="s">
        <v>31</v>
      </c>
      <c r="C9" s="5" t="n">
        <v>20</v>
      </c>
      <c r="D9" s="5"/>
      <c r="E9" s="5"/>
      <c r="F9" s="5" t="str">
        <f aca="false">IF(B9="","Only in new",IF(D9="","Only in reference",IF(B9&lt;&gt;D9,"Type differs",IF(C9&lt;&gt;E9,"Length differs","Match"))))</f>
        <v>Only in reference</v>
      </c>
      <c r="G9" s="4" t="s">
        <v>41</v>
      </c>
    </row>
    <row r="10" customFormat="false" ht="15" hidden="false" customHeight="false" outlineLevel="0" collapsed="false">
      <c r="A10" s="4" t="s">
        <v>43</v>
      </c>
      <c r="B10" s="5" t="s">
        <v>31</v>
      </c>
      <c r="C10" s="5" t="n">
        <v>20</v>
      </c>
      <c r="D10" s="5" t="s">
        <v>31</v>
      </c>
      <c r="E10" s="5" t="n">
        <v>19</v>
      </c>
      <c r="F10" s="5" t="str">
        <f aca="false">IF(B10="","Only in new",IF(D10="","Only in reference",IF(B10&lt;&gt;D10,"Type differs",IF(C10&lt;&gt;E10,"Length differs","Match"))))</f>
        <v>Length differs</v>
      </c>
      <c r="G10" s="4"/>
    </row>
    <row r="11" customFormat="false" ht="15" hidden="false" customHeight="false" outlineLevel="0" collapsed="false">
      <c r="A11" s="4" t="s">
        <v>44</v>
      </c>
      <c r="B11" s="5" t="s">
        <v>31</v>
      </c>
      <c r="C11" s="5" t="n">
        <v>20</v>
      </c>
      <c r="D11" s="5"/>
      <c r="E11" s="5"/>
      <c r="F11" s="5" t="str">
        <f aca="false">IF(B11="","Only in new",IF(D11="","Only in reference",IF(B11&lt;&gt;D11,"Type differs",IF(C11&lt;&gt;E11,"Length differs","Match"))))</f>
        <v>Only in reference</v>
      </c>
      <c r="G11" s="4" t="s">
        <v>45</v>
      </c>
    </row>
    <row r="12" customFormat="false" ht="15" hidden="false" customHeight="false" outlineLevel="0" collapsed="false">
      <c r="A12" s="4" t="s">
        <v>46</v>
      </c>
      <c r="B12" s="5" t="s">
        <v>31</v>
      </c>
      <c r="C12" s="5" t="n">
        <v>20</v>
      </c>
      <c r="D12" s="5" t="s">
        <v>31</v>
      </c>
      <c r="E12" s="5" t="n">
        <v>19</v>
      </c>
      <c r="F12" s="5" t="str">
        <f aca="false">IF(B12="","Only in new",IF(D12="","Only in reference",IF(B12&lt;&gt;D12,"Type differs",IF(C12&lt;&gt;E12,"Length differs","Match"))))</f>
        <v>Length differs</v>
      </c>
      <c r="G12" s="4" t="s">
        <v>47</v>
      </c>
    </row>
    <row r="13" customFormat="false" ht="15" hidden="false" customHeight="false" outlineLevel="0" collapsed="false">
      <c r="A13" s="4" t="s">
        <v>48</v>
      </c>
      <c r="B13" s="5" t="s">
        <v>31</v>
      </c>
      <c r="C13" s="5" t="n">
        <v>1</v>
      </c>
      <c r="D13" s="5" t="s">
        <v>31</v>
      </c>
      <c r="E13" s="5" t="n">
        <v>1</v>
      </c>
      <c r="F13" s="5" t="str">
        <f aca="false">IF(B13="","Only in new",IF(D13="","Only in reference",IF(B13&lt;&gt;D13,"Type differs",IF(C13&lt;&gt;E13,"Length differs","Match"))))</f>
        <v>Match</v>
      </c>
      <c r="G13" s="4" t="s">
        <v>47</v>
      </c>
    </row>
    <row r="14" customFormat="false" ht="15" hidden="false" customHeight="false" outlineLevel="0" collapsed="false">
      <c r="A14" s="4" t="s">
        <v>49</v>
      </c>
      <c r="B14" s="5" t="s">
        <v>31</v>
      </c>
      <c r="C14" s="5" t="n">
        <v>3</v>
      </c>
      <c r="D14" s="5" t="s">
        <v>31</v>
      </c>
      <c r="E14" s="5" t="n">
        <v>10</v>
      </c>
      <c r="F14" s="5" t="str">
        <f aca="false">IF(B14="","Only in new",IF(D14="","Only in reference",IF(B14&lt;&gt;D14,"Type differs",IF(C14&lt;&gt;E14,"Length differs","Match"))))</f>
        <v>Length differs</v>
      </c>
      <c r="G14" s="4"/>
    </row>
    <row r="15" customFormat="false" ht="15" hidden="false" customHeight="false" outlineLevel="0" collapsed="false">
      <c r="A15" s="4" t="s">
        <v>20</v>
      </c>
      <c r="B15" s="5"/>
      <c r="C15" s="5"/>
      <c r="D15" s="5" t="s">
        <v>31</v>
      </c>
      <c r="E15" s="5" t="n">
        <v>10</v>
      </c>
      <c r="F15" s="5" t="str">
        <f aca="false">IF(B15="","Only in new",IF(D15="","Only in reference",IF(B15&lt;&gt;D15,"Type differs",IF(C15&lt;&gt;E15,"Length differs","Match"))))</f>
        <v>Only in new</v>
      </c>
      <c r="G15" s="4" t="s">
        <v>50</v>
      </c>
    </row>
    <row r="16" customFormat="false" ht="15" hidden="false" customHeight="false" outlineLevel="0" collapsed="false">
      <c r="A16" s="4" t="s">
        <v>51</v>
      </c>
      <c r="B16" s="5" t="s">
        <v>52</v>
      </c>
      <c r="C16" s="5" t="n">
        <v>8</v>
      </c>
      <c r="D16" s="5" t="s">
        <v>52</v>
      </c>
      <c r="E16" s="5" t="n">
        <v>8</v>
      </c>
      <c r="F16" s="5" t="str">
        <f aca="false">IF(B16="","Only in new",IF(D16="","Only in reference",IF(B16&lt;&gt;D16,"Type differs",IF(C16&lt;&gt;E16,"Length differs","Match"))))</f>
        <v>Match</v>
      </c>
      <c r="G16" s="4" t="s">
        <v>53</v>
      </c>
    </row>
    <row r="17" customFormat="false" ht="15" hidden="false" customHeight="false" outlineLevel="0" collapsed="false">
      <c r="A17" s="4" t="s">
        <v>54</v>
      </c>
      <c r="B17" s="5" t="s">
        <v>31</v>
      </c>
      <c r="C17" s="5" t="n">
        <v>6</v>
      </c>
      <c r="D17" s="5" t="s">
        <v>31</v>
      </c>
      <c r="E17" s="5" t="n">
        <v>5</v>
      </c>
      <c r="F17" s="5" t="str">
        <f aca="false">IF(B17="","Only in new",IF(D17="","Only in reference",IF(B17&lt;&gt;D17,"Type differs",IF(C17&lt;&gt;E17,"Length differs","Match"))))</f>
        <v>Length differs</v>
      </c>
      <c r="G17" s="4"/>
    </row>
    <row r="18" customFormat="false" ht="15" hidden="false" customHeight="false" outlineLevel="0" collapsed="false">
      <c r="A18" s="4" t="s">
        <v>55</v>
      </c>
      <c r="B18" s="5" t="s">
        <v>31</v>
      </c>
      <c r="C18" s="5" t="n">
        <v>1</v>
      </c>
      <c r="D18" s="5" t="s">
        <v>31</v>
      </c>
      <c r="E18" s="5" t="n">
        <v>20</v>
      </c>
      <c r="F18" s="5" t="str">
        <f aca="false">IF(B18="","Only in new",IF(D18="","Only in reference",IF(B18&lt;&gt;D18,"Type differs",IF(C18&lt;&gt;E18,"Length differs","Match"))))</f>
        <v>Length differs</v>
      </c>
      <c r="G18" s="4" t="s">
        <v>56</v>
      </c>
    </row>
    <row r="19" customFormat="false" ht="15" hidden="false" customHeight="false" outlineLevel="0" collapsed="false">
      <c r="A19" s="4" t="s">
        <v>57</v>
      </c>
      <c r="B19" s="5" t="s">
        <v>31</v>
      </c>
      <c r="C19" s="5" t="n">
        <v>78</v>
      </c>
      <c r="D19" s="5" t="s">
        <v>31</v>
      </c>
      <c r="E19" s="5" t="n">
        <v>60</v>
      </c>
      <c r="F19" s="5" t="str">
        <f aca="false">IF(B19="","Only in new",IF(D19="","Only in reference",IF(B19&lt;&gt;D19,"Type differs",IF(C19&lt;&gt;E19,"Length differs","Match"))))</f>
        <v>Length differs</v>
      </c>
      <c r="G19" s="4" t="s">
        <v>58</v>
      </c>
    </row>
    <row r="20" customFormat="false" ht="15" hidden="false" customHeight="false" outlineLevel="0" collapsed="false">
      <c r="A20" s="4" t="s">
        <v>59</v>
      </c>
      <c r="B20" s="5" t="s">
        <v>31</v>
      </c>
      <c r="C20" s="5" t="n">
        <v>25</v>
      </c>
      <c r="D20" s="5" t="s">
        <v>31</v>
      </c>
      <c r="E20" s="5" t="n">
        <v>40</v>
      </c>
      <c r="F20" s="5" t="str">
        <f aca="false">IF(B20="","Only in new",IF(D20="","Only in reference",IF(B20&lt;&gt;D20,"Type differs",IF(C20&lt;&gt;E20,"Length differs","Match"))))</f>
        <v>Length differs</v>
      </c>
      <c r="G20" s="4" t="s">
        <v>38</v>
      </c>
    </row>
    <row r="21" customFormat="false" ht="15" hidden="false" customHeight="false" outlineLevel="0" collapsed="false">
      <c r="A21" s="4" t="s">
        <v>60</v>
      </c>
      <c r="B21" s="5" t="s">
        <v>31</v>
      </c>
      <c r="C21" s="5" t="n">
        <v>8</v>
      </c>
      <c r="D21" s="5" t="s">
        <v>31</v>
      </c>
      <c r="E21" s="5" t="n">
        <v>20</v>
      </c>
      <c r="F21" s="5" t="str">
        <f aca="false">IF(B21="","Only in new",IF(D21="","Only in reference",IF(B21&lt;&gt;D21,"Type differs",IF(C21&lt;&gt;E21,"Length differs","Match"))))</f>
        <v>Length differs</v>
      </c>
      <c r="G21" s="4" t="s">
        <v>38</v>
      </c>
    </row>
    <row r="22" customFormat="false" ht="15" hidden="false" customHeight="false" outlineLevel="0" collapsed="false">
      <c r="A22" s="4" t="s">
        <v>61</v>
      </c>
      <c r="B22" s="5" t="s">
        <v>31</v>
      </c>
      <c r="C22" s="5" t="n">
        <v>20</v>
      </c>
      <c r="D22" s="5" t="s">
        <v>31</v>
      </c>
      <c r="E22" s="5" t="n">
        <v>200</v>
      </c>
      <c r="F22" s="5" t="str">
        <f aca="false">IF(B22="","Only in new",IF(D22="","Only in reference",IF(B22&lt;&gt;D22,"Type differs",IF(C22&lt;&gt;E22,"Length differs","Match"))))</f>
        <v>Length differs</v>
      </c>
      <c r="G22" s="4" t="s">
        <v>38</v>
      </c>
    </row>
    <row r="23" customFormat="false" ht="15" hidden="false" customHeight="false" outlineLevel="0" collapsed="false">
      <c r="A23" s="4" t="s">
        <v>62</v>
      </c>
      <c r="B23" s="5" t="s">
        <v>31</v>
      </c>
      <c r="C23" s="5" t="n">
        <v>8</v>
      </c>
      <c r="D23" s="5"/>
      <c r="E23" s="5"/>
      <c r="F23" s="5" t="str">
        <f aca="false">IF(B23="","Only in new",IF(D23="","Only in reference",IF(B23&lt;&gt;D23,"Type differs",IF(C23&lt;&gt;E23,"Length differs","Match"))))</f>
        <v>Only in reference</v>
      </c>
      <c r="G23" s="4" t="s">
        <v>63</v>
      </c>
    </row>
    <row r="24" customFormat="false" ht="15" hidden="false" customHeight="false" outlineLevel="0" collapsed="false">
      <c r="A24" s="4" t="s">
        <v>64</v>
      </c>
      <c r="B24" s="5" t="s">
        <v>31</v>
      </c>
      <c r="C24" s="5" t="n">
        <v>20</v>
      </c>
      <c r="D24" s="5"/>
      <c r="E24" s="5"/>
      <c r="F24" s="5" t="str">
        <f aca="false">IF(B24="","Only in new",IF(D24="","Only in reference",IF(B24&lt;&gt;D24,"Type differs",IF(C24&lt;&gt;E24,"Length differs","Match"))))</f>
        <v>Only in reference</v>
      </c>
      <c r="G24" s="4" t="s">
        <v>63</v>
      </c>
    </row>
    <row r="25" customFormat="false" ht="15" hidden="false" customHeight="false" outlineLevel="0" collapsed="false">
      <c r="A25" s="4" t="s">
        <v>65</v>
      </c>
      <c r="B25" s="5" t="s">
        <v>31</v>
      </c>
      <c r="C25" s="5" t="n">
        <v>3</v>
      </c>
      <c r="D25" s="5" t="s">
        <v>31</v>
      </c>
      <c r="E25" s="5" t="n">
        <v>3</v>
      </c>
      <c r="F25" s="5" t="str">
        <f aca="false">IF(B25="","Only in new",IF(D25="","Only in reference",IF(B25&lt;&gt;D25,"Type differs",IF(C25&lt;&gt;E25,"Length differs","Match"))))</f>
        <v>Match</v>
      </c>
      <c r="G25" s="4" t="s">
        <v>38</v>
      </c>
    </row>
    <row r="26" customFormat="false" ht="15" hidden="false" customHeight="false" outlineLevel="0" collapsed="false">
      <c r="A26" s="4" t="s">
        <v>66</v>
      </c>
      <c r="B26" s="5" t="s">
        <v>31</v>
      </c>
      <c r="C26" s="5" t="n">
        <v>10</v>
      </c>
      <c r="D26" s="5"/>
      <c r="E26" s="5"/>
      <c r="F26" s="5" t="str">
        <f aca="false">IF(B26="","Only in new",IF(D26="","Only in reference",IF(B26&lt;&gt;D26,"Type differs",IF(C26&lt;&gt;E26,"Length differs","Match"))))</f>
        <v>Only in reference</v>
      </c>
      <c r="G26" s="4" t="s">
        <v>67</v>
      </c>
    </row>
    <row r="27" customFormat="false" ht="15" hidden="false" customHeight="false" outlineLevel="0" collapsed="false">
      <c r="A27" s="4" t="s">
        <v>68</v>
      </c>
      <c r="B27" s="5" t="s">
        <v>52</v>
      </c>
      <c r="C27" s="5" t="n">
        <v>8</v>
      </c>
      <c r="D27" s="5"/>
      <c r="E27" s="5"/>
      <c r="F27" s="5" t="str">
        <f aca="false">IF(B27="","Only in new",IF(D27="","Only in reference",IF(B27&lt;&gt;D27,"Type differs",IF(C27&lt;&gt;E27,"Length differs","Match"))))</f>
        <v>Only in reference</v>
      </c>
      <c r="G27" s="4" t="s">
        <v>69</v>
      </c>
    </row>
    <row r="29" customFormat="false" ht="15" hidden="false" customHeight="false" outlineLevel="0" collapsed="false">
      <c r="A29" s="2" t="s">
        <v>70</v>
      </c>
    </row>
  </sheetData>
  <autoFilter ref="A1:G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3" t="s">
        <v>2</v>
      </c>
      <c r="B3" s="3" t="s">
        <v>72</v>
      </c>
      <c r="C3" s="3" t="s">
        <v>73</v>
      </c>
      <c r="D3" s="3" t="s">
        <v>74</v>
      </c>
      <c r="E3" s="3" t="s">
        <v>75</v>
      </c>
    </row>
    <row r="4" customFormat="false" ht="15" hidden="false" customHeight="false" outlineLevel="0" collapsed="false">
      <c r="A4" s="8" t="s">
        <v>76</v>
      </c>
      <c r="B4" s="9"/>
      <c r="C4" s="9"/>
      <c r="D4" s="9"/>
      <c r="E4" s="9"/>
    </row>
    <row r="5" customFormat="false" ht="15" hidden="false" customHeight="false" outlineLevel="0" collapsed="false">
      <c r="A5" s="4" t="s">
        <v>77</v>
      </c>
      <c r="B5" s="5" t="n">
        <v>50</v>
      </c>
      <c r="C5" s="5"/>
      <c r="D5" s="5" t="n">
        <v>53</v>
      </c>
      <c r="E5" s="5"/>
    </row>
    <row r="6" customFormat="false" ht="15" hidden="false" customHeight="false" outlineLevel="0" collapsed="false">
      <c r="A6" s="4" t="s">
        <v>78</v>
      </c>
      <c r="B6" s="5" t="n">
        <v>89</v>
      </c>
      <c r="C6" s="5"/>
      <c r="D6" s="5" t="n">
        <v>80</v>
      </c>
      <c r="E6" s="5"/>
    </row>
    <row r="7" customFormat="false" ht="15" hidden="false" customHeight="false" outlineLevel="0" collapsed="false">
      <c r="A7" s="4" t="s">
        <v>79</v>
      </c>
      <c r="B7" s="10" t="n">
        <v>75.08824</v>
      </c>
      <c r="C7" s="5"/>
      <c r="D7" s="10" t="n">
        <v>67.53333</v>
      </c>
      <c r="E7" s="5"/>
    </row>
    <row r="8" customFormat="false" ht="15" hidden="false" customHeight="false" outlineLevel="0" collapsed="false">
      <c r="A8" s="8" t="s">
        <v>80</v>
      </c>
      <c r="B8" s="9"/>
      <c r="C8" s="9"/>
      <c r="D8" s="9"/>
      <c r="E8" s="9"/>
    </row>
    <row r="9" customFormat="false" ht="15" hidden="false" customHeight="false" outlineLevel="0" collapsed="false">
      <c r="A9" s="4" t="s">
        <v>81</v>
      </c>
      <c r="B9" s="5" t="n">
        <v>179</v>
      </c>
      <c r="C9" s="11" t="n">
        <f aca="false">B9/B$11</f>
        <v>0.584967320261438</v>
      </c>
      <c r="D9" s="5" t="n">
        <v>9</v>
      </c>
      <c r="E9" s="11" t="n">
        <f aca="false">D9/D$11</f>
        <v>0.6</v>
      </c>
    </row>
    <row r="10" customFormat="false" ht="15" hidden="false" customHeight="false" outlineLevel="0" collapsed="false">
      <c r="A10" s="4" t="s">
        <v>82</v>
      </c>
      <c r="B10" s="5" t="n">
        <v>127</v>
      </c>
      <c r="C10" s="11" t="n">
        <f aca="false">B10/B$11</f>
        <v>0.415032679738562</v>
      </c>
      <c r="D10" s="5" t="n">
        <v>6</v>
      </c>
      <c r="E10" s="11" t="n">
        <f aca="false">D10/D$11</f>
        <v>0.4</v>
      </c>
    </row>
    <row r="11" customFormat="false" ht="15" hidden="false" customHeight="false" outlineLevel="0" collapsed="false">
      <c r="A11" s="12" t="s">
        <v>83</v>
      </c>
      <c r="B11" s="13" t="n">
        <f aca="false">SUM(B9:B10)</f>
        <v>306</v>
      </c>
      <c r="C11" s="13"/>
      <c r="D11" s="13" t="n">
        <f aca="false">SUM(D9:D10)</f>
        <v>15</v>
      </c>
      <c r="E11" s="13"/>
    </row>
    <row r="12" customFormat="false" ht="15" hidden="false" customHeight="false" outlineLevel="0" collapsed="false">
      <c r="A12" s="8" t="s">
        <v>84</v>
      </c>
      <c r="B12" s="9"/>
      <c r="C12" s="9"/>
      <c r="D12" s="9"/>
      <c r="E12" s="9"/>
    </row>
    <row r="13" customFormat="false" ht="15" hidden="false" customHeight="false" outlineLevel="0" collapsed="false">
      <c r="A13" s="4" t="s">
        <v>85</v>
      </c>
      <c r="B13" s="5" t="n">
        <v>273</v>
      </c>
      <c r="C13" s="11" t="n">
        <f aca="false">B13/B$18</f>
        <v>0.892156862745098</v>
      </c>
      <c r="D13" s="5" t="n">
        <v>7</v>
      </c>
      <c r="E13" s="11" t="n">
        <f aca="false">D13/D$18</f>
        <v>0.466666666666667</v>
      </c>
    </row>
    <row r="14" customFormat="false" ht="15" hidden="false" customHeight="false" outlineLevel="0" collapsed="false">
      <c r="A14" s="4" t="s">
        <v>86</v>
      </c>
      <c r="B14" s="5" t="n">
        <v>29</v>
      </c>
      <c r="C14" s="11" t="n">
        <f aca="false">B14/B$18</f>
        <v>0.0947712418300654</v>
      </c>
      <c r="D14" s="5" t="n">
        <v>2</v>
      </c>
      <c r="E14" s="11" t="n">
        <f aca="false">D14/D$18</f>
        <v>0.133333333333333</v>
      </c>
    </row>
    <row r="15" customFormat="false" ht="15" hidden="false" customHeight="false" outlineLevel="0" collapsed="false">
      <c r="A15" s="4" t="s">
        <v>87</v>
      </c>
      <c r="B15" s="5" t="n">
        <v>2</v>
      </c>
      <c r="C15" s="11" t="n">
        <f aca="false">B15/B$18</f>
        <v>0.0065359477124183</v>
      </c>
      <c r="D15" s="5" t="n">
        <v>1</v>
      </c>
      <c r="E15" s="11" t="n">
        <f aca="false">D15/D$18</f>
        <v>0.0666666666666667</v>
      </c>
    </row>
    <row r="16" customFormat="false" ht="15" hidden="false" customHeight="false" outlineLevel="0" collapsed="false">
      <c r="A16" s="4" t="s">
        <v>88</v>
      </c>
      <c r="B16" s="5" t="n">
        <v>2</v>
      </c>
      <c r="C16" s="11" t="n">
        <f aca="false">B16/B$18</f>
        <v>0.0065359477124183</v>
      </c>
      <c r="D16" s="5" t="n">
        <v>0</v>
      </c>
      <c r="E16" s="11" t="n">
        <f aca="false">D16/D$18</f>
        <v>0</v>
      </c>
    </row>
    <row r="17" customFormat="false" ht="15" hidden="false" customHeight="false" outlineLevel="0" collapsed="false">
      <c r="A17" s="4" t="s">
        <v>89</v>
      </c>
      <c r="B17" s="5" t="n">
        <v>0</v>
      </c>
      <c r="C17" s="11" t="n">
        <f aca="false">B17/B$18</f>
        <v>0</v>
      </c>
      <c r="D17" s="5" t="n">
        <v>5</v>
      </c>
      <c r="E17" s="11" t="n">
        <f aca="false">D17/D$18</f>
        <v>0.333333333333333</v>
      </c>
    </row>
    <row r="18" customFormat="false" ht="15" hidden="false" customHeight="false" outlineLevel="0" collapsed="false">
      <c r="A18" s="12" t="s">
        <v>83</v>
      </c>
      <c r="B18" s="13" t="n">
        <f aca="false">SUM(B13:B17)</f>
        <v>306</v>
      </c>
      <c r="C18" s="13"/>
      <c r="D18" s="13" t="n">
        <f aca="false">SUM(D13:D17)</f>
        <v>15</v>
      </c>
      <c r="E18" s="13"/>
    </row>
    <row r="19" customFormat="false" ht="15" hidden="false" customHeight="false" outlineLevel="0" collapsed="false">
      <c r="A19" s="8" t="s">
        <v>90</v>
      </c>
      <c r="B19" s="9"/>
      <c r="C19" s="9"/>
      <c r="D19" s="9"/>
      <c r="E19" s="9"/>
    </row>
    <row r="20" customFormat="false" ht="15" hidden="false" customHeight="false" outlineLevel="0" collapsed="false">
      <c r="A20" s="4" t="s">
        <v>59</v>
      </c>
      <c r="B20" s="5" t="s">
        <v>91</v>
      </c>
      <c r="C20" s="5"/>
      <c r="D20" s="5" t="s">
        <v>92</v>
      </c>
      <c r="E20" s="5"/>
    </row>
    <row r="21" customFormat="false" ht="15" hidden="false" customHeight="false" outlineLevel="0" collapsed="false">
      <c r="A21" s="4" t="s">
        <v>60</v>
      </c>
      <c r="B21" s="5" t="s">
        <v>91</v>
      </c>
      <c r="C21" s="5"/>
      <c r="D21" s="5" t="s">
        <v>92</v>
      </c>
      <c r="E21" s="5"/>
    </row>
    <row r="22" customFormat="false" ht="15" hidden="false" customHeight="false" outlineLevel="0" collapsed="false">
      <c r="A22" s="4" t="s">
        <v>61</v>
      </c>
      <c r="B22" s="5" t="s">
        <v>91</v>
      </c>
      <c r="C22" s="5"/>
      <c r="D22" s="5" t="s">
        <v>92</v>
      </c>
      <c r="E22" s="5"/>
    </row>
    <row r="23" customFormat="false" ht="15" hidden="false" customHeight="false" outlineLevel="0" collapsed="false">
      <c r="A23" s="4" t="s">
        <v>65</v>
      </c>
      <c r="B23" s="5" t="s">
        <v>91</v>
      </c>
      <c r="C23" s="5"/>
      <c r="D23" s="5" t="s">
        <v>92</v>
      </c>
      <c r="E23" s="5"/>
    </row>
    <row r="24" customFormat="false" ht="15" hidden="false" customHeight="false" outlineLevel="0" collapsed="false">
      <c r="A24" s="4" t="s">
        <v>37</v>
      </c>
      <c r="B24" s="5" t="s">
        <v>93</v>
      </c>
      <c r="C24" s="5"/>
      <c r="D24" s="5" t="s">
        <v>92</v>
      </c>
      <c r="E24" s="5"/>
    </row>
    <row r="25" customFormat="false" ht="15" hidden="false" customHeight="false" outlineLevel="0" collapsed="false">
      <c r="A25" s="4" t="s">
        <v>39</v>
      </c>
      <c r="B25" s="5" t="s">
        <v>93</v>
      </c>
      <c r="C25" s="5"/>
      <c r="D25" s="5" t="s">
        <v>92</v>
      </c>
      <c r="E25" s="5"/>
    </row>
    <row r="26" customFormat="false" ht="15" hidden="false" customHeight="false" outlineLevel="0" collapsed="false">
      <c r="A26" s="4" t="s">
        <v>46</v>
      </c>
      <c r="B26" s="5" t="s">
        <v>93</v>
      </c>
      <c r="C26" s="5"/>
      <c r="D26" s="5" t="s">
        <v>92</v>
      </c>
      <c r="E26" s="5"/>
    </row>
    <row r="28" customFormat="false" ht="15" hidden="false" customHeight="false" outlineLevel="0" collapsed="false">
      <c r="A28" s="2" t="s">
        <v>94</v>
      </c>
    </row>
  </sheetData>
  <mergeCells count="14"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95</v>
      </c>
      <c r="B1" s="3" t="s">
        <v>96</v>
      </c>
      <c r="C1" s="3" t="s">
        <v>97</v>
      </c>
      <c r="D1" s="3" t="s">
        <v>98</v>
      </c>
      <c r="E1" s="3" t="s">
        <v>29</v>
      </c>
    </row>
    <row r="2" customFormat="false" ht="23.85" hidden="false" customHeight="false" outlineLevel="0" collapsed="false">
      <c r="A2" s="5" t="n">
        <v>1</v>
      </c>
      <c r="B2" s="4" t="s">
        <v>99</v>
      </c>
      <c r="C2" s="4" t="s">
        <v>100</v>
      </c>
      <c r="D2" s="4"/>
      <c r="E2" s="5" t="s">
        <v>101</v>
      </c>
    </row>
    <row r="3" customFormat="false" ht="15" hidden="false" customHeight="false" outlineLevel="0" collapsed="false">
      <c r="A3" s="5" t="n">
        <v>2</v>
      </c>
      <c r="B3" s="4" t="s">
        <v>102</v>
      </c>
      <c r="C3" s="4" t="s">
        <v>103</v>
      </c>
      <c r="D3" s="4"/>
      <c r="E3" s="5" t="s">
        <v>101</v>
      </c>
    </row>
    <row r="4" customFormat="false" ht="15" hidden="false" customHeight="false" outlineLevel="0" collapsed="false">
      <c r="A4" s="5" t="n">
        <v>3</v>
      </c>
      <c r="B4" s="4" t="s">
        <v>104</v>
      </c>
      <c r="C4" s="4" t="s">
        <v>105</v>
      </c>
      <c r="D4" s="4"/>
      <c r="E4" s="5" t="s">
        <v>101</v>
      </c>
    </row>
    <row r="5" customFormat="false" ht="15" hidden="false" customHeight="false" outlineLevel="0" collapsed="false">
      <c r="A5" s="5" t="n">
        <v>4</v>
      </c>
      <c r="B5" s="4" t="s">
        <v>106</v>
      </c>
      <c r="C5" s="4" t="s">
        <v>107</v>
      </c>
      <c r="D5" s="4"/>
      <c r="E5" s="5" t="s">
        <v>101</v>
      </c>
    </row>
    <row r="6" customFormat="false" ht="15" hidden="false" customHeight="false" outlineLevel="0" collapsed="false">
      <c r="A6" s="5" t="n">
        <v>5</v>
      </c>
      <c r="B6" s="4" t="s">
        <v>108</v>
      </c>
      <c r="C6" s="4" t="s">
        <v>109</v>
      </c>
      <c r="D6" s="4"/>
      <c r="E6" s="5" t="s">
        <v>101</v>
      </c>
    </row>
    <row r="7" customFormat="false" ht="23.85" hidden="false" customHeight="false" outlineLevel="0" collapsed="false">
      <c r="A7" s="5" t="n">
        <v>6</v>
      </c>
      <c r="B7" s="4" t="s">
        <v>110</v>
      </c>
      <c r="C7" s="4" t="s">
        <v>111</v>
      </c>
      <c r="D7" s="4"/>
      <c r="E7" s="5" t="s">
        <v>101</v>
      </c>
    </row>
    <row r="9" customFormat="false" ht="15" hidden="false" customHeight="false" outlineLevel="0" collapsed="false">
      <c r="A9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2026-10-28T06:31:56Z</dcterms:created>
  <dc:creator>openpyxl</dc:creator>
  <dc:description/>
  <dc:language>en-US</dc:language>
  <cp:lastModifiedBy/>
  <dcterms:modified xsi:type="dcterms:W3CDTF">2026-10-28T06:31:56Z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